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<sst xmlns="http://schemas.openxmlformats.org/spreadsheetml/2006/main" count="361" uniqueCount="313">
  <si>
    <t>Spin</t>
  </si>
  <si>
    <t>Nation</t>
  </si>
  <si>
    <t>Size</t>
  </si>
  <si>
    <t>Population</t>
  </si>
  <si>
    <t>Political System</t>
  </si>
  <si>
    <t>Leader Traits</t>
  </si>
  <si>
    <t>Economy types</t>
  </si>
  <si>
    <t>GDP</t>
  </si>
  <si>
    <t>HDI</t>
  </si>
  <si>
    <t xml:space="preserve"> Military</t>
  </si>
  <si>
    <t>Cultures</t>
  </si>
  <si>
    <t>Allegiance</t>
  </si>
  <si>
    <t>Blessing / Curse</t>
  </si>
  <si>
    <t>Localisation</t>
  </si>
  <si>
    <t>Influence</t>
  </si>
  <si>
    <t>Note</t>
  </si>
  <si>
    <t>💰 GDP Tier (Nominal GDP – USD)</t>
  </si>
  <si>
    <t>#1</t>
  </si>
  <si>
    <t>Aagyr</t>
  </si>
  <si>
    <r>
      <rPr>
        <rFont val="Arial"/>
        <color theme="1"/>
      </rPr>
      <t xml:space="preserve">300 000 </t>
    </r>
    <r>
      <rPr>
        <rFont val="Arial"/>
        <color rgb="FFFF0000"/>
      </rPr>
      <t>5/10</t>
    </r>
  </si>
  <si>
    <r>
      <rPr>
        <rFont val="Arial"/>
        <color theme="1"/>
      </rPr>
      <t xml:space="preserve">25 000 000 </t>
    </r>
    <r>
      <rPr>
        <rFont val="Arial"/>
        <color rgb="FFFF0000"/>
      </rPr>
      <t>4/10</t>
    </r>
  </si>
  <si>
    <t>Presidential Republic</t>
  </si>
  <si>
    <t>Vengeful +2 Mil</t>
  </si>
  <si>
    <t>Jewelry craft</t>
  </si>
  <si>
    <r>
      <rPr>
        <rFont val="Arial"/>
        <color theme="1"/>
      </rPr>
      <t>500 B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</si>
  <si>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0,84 </t>
    </r>
    <r>
      <rPr>
        <rFont val="Arial"/>
        <color rgb="FFFF0000"/>
      </rPr>
      <t>8/10</t>
    </r>
  </si>
  <si>
    <r>
      <rPr>
        <rFont val="Arial"/>
        <color theme="1"/>
      </rPr>
      <t xml:space="preserve">Basic Army </t>
    </r>
    <r>
      <rPr>
        <rFont val="Arial"/>
        <color rgb="FFFF0000"/>
      </rPr>
      <t>5/10</t>
    </r>
  </si>
  <si>
    <t>Never Smiling</t>
  </si>
  <si>
    <t>Demonbound</t>
  </si>
  <si>
    <t>Diplo Isolation</t>
  </si>
  <si>
    <t>South Fang</t>
  </si>
  <si>
    <t>#2</t>
  </si>
  <si>
    <t>Grunewald</t>
  </si>
  <si>
    <r>
      <rPr>
        <rFont val="Arial"/>
        <color theme="1"/>
      </rPr>
      <t xml:space="preserve">1 000 000 </t>
    </r>
    <r>
      <rPr>
        <rFont val="Arial"/>
        <color rgb="FFFF0000"/>
      </rPr>
      <t>7/10</t>
    </r>
  </si>
  <si>
    <r>
      <rPr>
        <rFont val="Arial"/>
        <color theme="1"/>
      </rPr>
      <t xml:space="preserve">250 000 000 </t>
    </r>
    <r>
      <rPr>
        <rFont val="Arial"/>
        <color rgb="FFFF0000"/>
      </rPr>
      <t xml:space="preserve">8/10 </t>
    </r>
  </si>
  <si>
    <t>Auth. Republic</t>
  </si>
  <si>
    <t>Leper -2 HDI</t>
  </si>
  <si>
    <t>Hydropower / Cows</t>
  </si>
  <si>
    <r>
      <rPr>
        <rFont val="Arial"/>
        <color theme="1"/>
      </rPr>
      <t xml:space="preserve">2,5 T </t>
    </r>
    <r>
      <rPr>
        <rFont val="Arial"/>
        <color rgb="FFFF0000"/>
      </rPr>
      <t>8/10</t>
    </r>
  </si>
  <si>
    <r>
      <rPr>
        <rFont val="Arial"/>
        <color theme="1"/>
      </rPr>
      <t xml:space="preserve">0,80 </t>
    </r>
    <r>
      <rPr>
        <rFont val="Arial"/>
        <color rgb="FFFF0000"/>
      </rPr>
      <t>8/10</t>
    </r>
  </si>
  <si>
    <r>
      <rPr>
        <rFont val="Arial"/>
        <color theme="1"/>
      </rPr>
      <t xml:space="preserve">Basic Army </t>
    </r>
    <r>
      <rPr>
        <rFont val="Arial"/>
        <color rgb="FFFF0000"/>
      </rPr>
      <t>5/10</t>
    </r>
  </si>
  <si>
    <t>Nap / Guild order</t>
  </si>
  <si>
    <t>Long peace</t>
  </si>
  <si>
    <t>North Fang</t>
  </si>
  <si>
    <t>1 – 500 M – 5 B</t>
  </si>
  <si>
    <t>#3</t>
  </si>
  <si>
    <t>Weak Empire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</si>
  <si>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</si>
  <si>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50 000 000 </t>
    </r>
    <r>
      <rPr>
        <rFont val="Arial"/>
        <color rgb="FFFF0000"/>
      </rPr>
      <t>5/10</t>
    </r>
  </si>
  <si>
    <t>High Tribal Kingdom</t>
  </si>
  <si>
    <t>Beautiful +1 HDI</t>
  </si>
  <si>
    <t>Manuf / Desalinisation</t>
  </si>
  <si>
    <r>
      <rPr>
        <rFont val="Arial"/>
        <color theme="1"/>
      </rPr>
      <t xml:space="preserve">900 B </t>
    </r>
    <r>
      <rPr>
        <rFont val="Arial"/>
        <color rgb="FFFF0000"/>
      </rPr>
      <t>7/10</t>
    </r>
  </si>
  <si>
    <r>
      <rPr>
        <rFont val="Arial"/>
        <color theme="1"/>
      </rPr>
      <t xml:space="preserve">0,62 </t>
    </r>
    <r>
      <rPr>
        <rFont val="Arial"/>
        <color rgb="FFFF0000"/>
      </rPr>
      <t>6/10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</si>
  <si>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</si>
  <si>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Elder Respect / Shaming</t>
  </si>
  <si>
    <t>Ember Industry</t>
  </si>
  <si>
    <t>Red Ear</t>
  </si>
  <si>
    <t>2 – 5 B – 20 B</t>
  </si>
  <si>
    <t>#4</t>
  </si>
  <si>
    <t>Rōzurando shū</t>
  </si>
  <si>
    <r>
      <rPr>
        <rFont val="Arial"/>
        <color rgb="FF000000"/>
      </rPr>
      <t>600 000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</si>
  <si>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80 000 000 </t>
    </r>
    <r>
      <rPr>
        <rFont val="Arial"/>
        <color rgb="FFFF0000"/>
      </rPr>
      <t>6/10</t>
    </r>
  </si>
  <si>
    <t>Naive -2 Military</t>
  </si>
  <si>
    <t>Critical Ress / Bananas</t>
  </si>
  <si>
    <r>
      <rPr>
        <rFont val="Arial"/>
        <color theme="1"/>
      </rPr>
      <t xml:space="preserve">9 T </t>
    </r>
    <r>
      <rPr>
        <rFont val="Arial"/>
        <color rgb="FFFF0000"/>
      </rPr>
      <t>9/10</t>
    </r>
  </si>
  <si>
    <r>
      <rPr>
        <rFont val="Arial"/>
        <color theme="1"/>
      </rPr>
      <t xml:space="preserve">0,93 </t>
    </r>
    <r>
      <rPr>
        <rFont val="Arial"/>
        <color rgb="FFFF0000"/>
      </rPr>
      <t>9/10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</si>
  <si>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</si>
  <si>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Matriarchal</t>
  </si>
  <si>
    <t>Resilient</t>
  </si>
  <si>
    <t>Iron Stability</t>
  </si>
  <si>
    <t>Feastwater</t>
  </si>
  <si>
    <t>3 – 20 B – 50 B</t>
  </si>
  <si>
    <t xml:space="preserve">#5 </t>
  </si>
  <si>
    <t>Vulcan</t>
  </si>
  <si>
    <r>
      <rPr>
        <rFont val="Arial"/>
        <color theme="1"/>
      </rPr>
      <t xml:space="preserve">60 000  </t>
    </r>
    <r>
      <rPr>
        <rFont val="Arial"/>
        <color rgb="FFFF0000"/>
      </rPr>
      <t>2/10</t>
    </r>
  </si>
  <si>
    <r>
      <rPr>
        <rFont val="Arial"/>
        <color theme="1"/>
      </rPr>
      <t xml:space="preserve">110 000 000 </t>
    </r>
    <r>
      <rPr>
        <rFont val="Arial"/>
        <color rgb="FFFF0000"/>
      </rPr>
      <t>6/10</t>
    </r>
  </si>
  <si>
    <t>Plutocracy</t>
  </si>
  <si>
    <t>Zealous +2 Mil</t>
  </si>
  <si>
    <t>Mining</t>
  </si>
  <si>
    <r>
      <rPr>
        <rFont val="Arial"/>
        <color theme="1"/>
      </rPr>
      <t xml:space="preserve">9 T  </t>
    </r>
    <r>
      <rPr>
        <rFont val="Arial"/>
        <color rgb="FFFF0000"/>
      </rPr>
      <t>9/10</t>
    </r>
  </si>
  <si>
    <r>
      <rPr>
        <rFont val="Arial"/>
        <color theme="1"/>
      </rPr>
      <t xml:space="preserve">0,92 </t>
    </r>
    <r>
      <rPr>
        <rFont val="Arial"/>
        <color rgb="FFFF0000"/>
      </rPr>
      <t>9/10</t>
    </r>
  </si>
  <si>
    <r>
      <rPr>
        <rFont val="Arial"/>
        <color theme="1"/>
      </rPr>
      <t xml:space="preserve">Global Military (Land/Air) </t>
    </r>
    <r>
      <rPr>
        <rFont val="Arial"/>
        <color rgb="FFFF0000"/>
      </rPr>
      <t>9/10</t>
    </r>
  </si>
  <si>
    <t>Underground</t>
  </si>
  <si>
    <t>Strategic Hesitation</t>
  </si>
  <si>
    <t>4 – 50 B – 100 B</t>
  </si>
  <si>
    <t>#6</t>
  </si>
  <si>
    <t>Autronia</t>
  </si>
  <si>
    <r>
      <rPr>
        <rFont val="Arial"/>
        <color theme="1"/>
      </rPr>
      <t xml:space="preserve">40 000 </t>
    </r>
    <r>
      <rPr>
        <rFont val="Arial"/>
        <color rgb="FFFF0000"/>
      </rPr>
      <t>2/10</t>
    </r>
  </si>
  <si>
    <r>
      <rPr>
        <rFont val="Arial"/>
        <color theme="1"/>
      </rPr>
      <t xml:space="preserve">9 000 000  </t>
    </r>
    <r>
      <rPr>
        <rFont val="Arial"/>
        <color rgb="FFFF0000"/>
      </rPr>
      <t>3/10</t>
    </r>
  </si>
  <si>
    <t>Constitutional Monarchy</t>
  </si>
  <si>
    <t>Quick +1 GDP</t>
  </si>
  <si>
    <t>Heavy Industry</t>
  </si>
  <si>
    <r>
      <rPr>
        <rFont val="Arial"/>
        <color theme="1"/>
      </rPr>
      <t xml:space="preserve">600 B </t>
    </r>
    <r>
      <rPr>
        <rFont val="Arial"/>
        <color rgb="FFFF0000"/>
      </rPr>
      <t>7/10</t>
    </r>
  </si>
  <si>
    <r>
      <rPr>
        <rFont val="Arial"/>
        <color theme="1"/>
      </rPr>
      <t xml:space="preserve">0,6  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</si>
  <si>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No Army </t>
    </r>
    <r>
      <rPr>
        <rFont val="Arial"/>
        <color rgb="FFFF0000"/>
      </rPr>
      <t>0/10</t>
    </r>
  </si>
  <si>
    <t>Cybernetic</t>
  </si>
  <si>
    <t>Economic Collapse</t>
  </si>
  <si>
    <t>Seas of tears</t>
  </si>
  <si>
    <t>5 – 100 B – 250 B</t>
  </si>
  <si>
    <t>#7</t>
  </si>
  <si>
    <t>Invictus Realm</t>
  </si>
  <si>
    <r>
      <rPr>
        <rFont val="Arial"/>
        <color theme="1"/>
      </rPr>
      <t xml:space="preserve">500 000 </t>
    </r>
    <r>
      <rPr>
        <rFont val="Arial"/>
        <color rgb="FFFF0000"/>
      </rPr>
      <t>6/10</t>
    </r>
  </si>
  <si>
    <r>
      <rPr>
        <rFont val="Arial"/>
        <color theme="1"/>
      </rPr>
      <t xml:space="preserve">60 000 000 </t>
    </r>
    <r>
      <rPr>
        <rFont val="Arial"/>
        <color rgb="FFFF0000"/>
      </rPr>
      <t>5/10</t>
    </r>
  </si>
  <si>
    <t>Absolute Monarchy</t>
  </si>
  <si>
    <t>Imbecile -3 GDP</t>
  </si>
  <si>
    <t>Scientific Res / Coffee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</si>
  <si>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</si>
  <si>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0,96 </t>
    </r>
    <r>
      <rPr>
        <rFont val="Arial"/>
        <color rgb="FFFF0000"/>
      </rPr>
      <t>10/10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</si>
  <si>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</si>
  <si>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Authorit. / Scientific</t>
  </si>
  <si>
    <t>Steady Growth</t>
  </si>
  <si>
    <t>6 – 250 B – 500 B</t>
  </si>
  <si>
    <t>#8</t>
  </si>
  <si>
    <t>Yoyleland</t>
  </si>
  <si>
    <r>
      <rPr>
        <rFont val="Arial"/>
        <color theme="1"/>
      </rPr>
      <t xml:space="preserve">20 000 </t>
    </r>
    <r>
      <rPr>
        <rFont val="Arial"/>
        <color rgb="FFFF0000"/>
      </rPr>
      <t>1/10</t>
    </r>
  </si>
  <si>
    <r>
      <rPr>
        <rFont val="Arial"/>
        <color theme="1"/>
      </rPr>
      <t xml:space="preserve">2 000 000  </t>
    </r>
    <r>
      <rPr>
        <rFont val="Arial"/>
        <color rgb="FFFF0000"/>
      </rPr>
      <t>2/10</t>
    </r>
  </si>
  <si>
    <t>City- State</t>
  </si>
  <si>
    <t>Fecund +2 Pop</t>
  </si>
  <si>
    <t>Beers</t>
  </si>
  <si>
    <r>
      <rPr>
        <rFont val="Arial"/>
        <color theme="1"/>
      </rPr>
      <t xml:space="preserve">15 B </t>
    </r>
    <r>
      <rPr>
        <rFont val="Arial"/>
        <color rgb="FFFF0000"/>
      </rPr>
      <t>2/10</t>
    </r>
  </si>
  <si>
    <r>
      <rPr>
        <rFont val="Arial"/>
        <color theme="1"/>
      </rPr>
      <t xml:space="preserve">0,75 </t>
    </r>
    <r>
      <rPr>
        <rFont val="Arial"/>
        <color rgb="FFFF0000"/>
      </rPr>
      <t>7/10</t>
    </r>
  </si>
  <si>
    <r>
      <rPr>
        <rFont val="Arial"/>
        <color theme="1"/>
      </rPr>
      <t xml:space="preserve">Civil Guard </t>
    </r>
    <r>
      <rPr>
        <rFont val="Arial"/>
        <color rgb="FFFF0000"/>
      </rPr>
      <t>1/10</t>
    </r>
  </si>
  <si>
    <t>Hedonistic</t>
  </si>
  <si>
    <t>Infernal Surge</t>
  </si>
  <si>
    <t>Nosecrest</t>
  </si>
  <si>
    <t>7 – 500 B – 1 T</t>
  </si>
  <si>
    <t>#9</t>
  </si>
  <si>
    <t>Intdocryn</t>
  </si>
  <si>
    <r>
      <rPr>
        <rFont val="Arial"/>
        <color theme="1"/>
      </rPr>
      <t xml:space="preserve">150 000 </t>
    </r>
    <r>
      <rPr>
        <rFont val="Arial"/>
        <color rgb="FFFF0000"/>
      </rPr>
      <t>4/10</t>
    </r>
  </si>
  <si>
    <r>
      <rPr>
        <rFont val="Arial"/>
        <color theme="1"/>
      </rPr>
      <t xml:space="preserve">4 000 000 </t>
    </r>
    <r>
      <rPr>
        <rFont val="Arial"/>
        <color rgb="FFFF0000"/>
      </rPr>
      <t>3/10</t>
    </r>
  </si>
  <si>
    <t>Technocracy</t>
  </si>
  <si>
    <t>Financial Services +1 GDP</t>
  </si>
  <si>
    <r>
      <rPr>
        <rFont val="Arial"/>
        <color theme="1"/>
      </rPr>
      <t>500 B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</si>
  <si>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0,76 </t>
    </r>
    <r>
      <rPr>
        <rFont val="Arial"/>
        <color rgb="FFFF0000"/>
      </rPr>
      <t>7/10</t>
    </r>
  </si>
  <si>
    <r>
      <rPr>
        <rFont val="Arial"/>
        <color theme="1"/>
      </rPr>
      <t xml:space="preserve">Basic Army </t>
    </r>
    <r>
      <rPr>
        <rFont val="Arial"/>
        <color rgb="FFFF0000"/>
      </rPr>
      <t xml:space="preserve">5/10 </t>
    </r>
  </si>
  <si>
    <t>Ultra Surveillance</t>
  </si>
  <si>
    <t>Internal Revolt</t>
  </si>
  <si>
    <t>8 – 1 T – 5 T</t>
  </si>
  <si>
    <t>#10</t>
  </si>
  <si>
    <t>Belvaria</t>
  </si>
  <si>
    <r>
      <rPr>
        <rFont val="Arial"/>
        <color theme="1"/>
      </rPr>
      <t xml:space="preserve">800 000 </t>
    </r>
    <r>
      <rPr>
        <rFont val="Arial"/>
        <color rgb="FFFF0000"/>
      </rPr>
      <t>7/10</t>
    </r>
  </si>
  <si>
    <r>
      <rPr>
        <rFont val="Arial"/>
        <color theme="1"/>
      </rPr>
      <t xml:space="preserve">60 000 000 </t>
    </r>
    <r>
      <rPr>
        <rFont val="Arial"/>
        <color rgb="FFFF0000"/>
      </rPr>
      <t>5/10</t>
    </r>
  </si>
  <si>
    <t>Communism</t>
  </si>
  <si>
    <t>Deceitful -2 HDI</t>
  </si>
  <si>
    <t>Paper / Heavy Ind</t>
  </si>
  <si>
    <r>
      <rPr>
        <rFont val="Arial"/>
        <color theme="1"/>
      </rPr>
      <t xml:space="preserve">600  B  </t>
    </r>
    <r>
      <rPr>
        <rFont val="Arial"/>
        <color rgb="FFFF0000"/>
      </rPr>
      <t>7/10</t>
    </r>
  </si>
  <si>
    <r>
      <rPr>
        <rFont val="Arial"/>
        <color theme="1"/>
      </rPr>
      <t xml:space="preserve">0,62 </t>
    </r>
    <r>
      <rPr>
        <rFont val="Arial"/>
        <color rgb="FFFF0000"/>
      </rPr>
      <t>6/10</t>
    </r>
  </si>
  <si>
    <r>
      <rPr>
        <rFont val="Arial"/>
        <color theme="1"/>
      </rPr>
      <t xml:space="preserve">Regional Military (Land) </t>
    </r>
    <r>
      <rPr>
        <rFont val="Arial"/>
        <color rgb="FFFF0000"/>
      </rPr>
      <t>8/10</t>
    </r>
  </si>
  <si>
    <t>Shaman / Storytell, Oral</t>
  </si>
  <si>
    <t>Blood Economy</t>
  </si>
  <si>
    <t>Twin Diadems</t>
  </si>
  <si>
    <t>9 – 5 T – 15 T</t>
  </si>
  <si>
    <t>#11</t>
  </si>
  <si>
    <t>Trivarya</t>
  </si>
  <si>
    <r>
      <rPr>
        <rFont val="Arial"/>
        <color theme="1"/>
      </rPr>
      <t xml:space="preserve">450 000 </t>
    </r>
    <r>
      <rPr>
        <rFont val="Arial"/>
        <color rgb="FFFF0000"/>
      </rPr>
      <t>5/10</t>
    </r>
  </si>
  <si>
    <r>
      <rPr>
        <rFont val="Arial"/>
        <color theme="1"/>
      </rPr>
      <t>10 000 000</t>
    </r>
    <r>
      <rPr>
        <rFont val="Arial"/>
        <color rgb="FFFF0000"/>
      </rPr>
      <t xml:space="preserve"> 3/10</t>
    </r>
  </si>
  <si>
    <t xml:space="preserve">Communism </t>
  </si>
  <si>
    <t>Schemer +1 GDP</t>
  </si>
  <si>
    <t>Yogurt Flavoring</t>
  </si>
  <si>
    <r>
      <rPr>
        <rFont val="Arial"/>
        <color theme="1"/>
      </rPr>
      <t>700 B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</si>
  <si>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0,65 </t>
    </r>
    <r>
      <rPr>
        <rFont val="Arial"/>
        <color rgb="FFFF0000"/>
      </rPr>
      <t>6/10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</si>
  <si>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</si>
  <si>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Leader Worshipping</t>
  </si>
  <si>
    <t>Ressource Burn</t>
  </si>
  <si>
    <t>10 – 15 T – 30 T</t>
  </si>
  <si>
    <t>#12</t>
  </si>
  <si>
    <t>Atomicmixiz</t>
  </si>
  <si>
    <r>
      <rPr>
        <rFont val="Arial"/>
        <color theme="1"/>
      </rPr>
      <t xml:space="preserve">100 000 </t>
    </r>
    <r>
      <rPr>
        <rFont val="Arial"/>
        <color rgb="FFFF0000"/>
      </rPr>
      <t>3/10</t>
    </r>
  </si>
  <si>
    <r>
      <rPr>
        <rFont val="Arial"/>
        <color theme="1"/>
      </rPr>
      <t xml:space="preserve">2 000 000 </t>
    </r>
    <r>
      <rPr>
        <rFont val="Arial"/>
        <color rgb="FFFF0000"/>
      </rPr>
      <t>2/10</t>
    </r>
  </si>
  <si>
    <t>Fed. Republic</t>
  </si>
  <si>
    <t>Bastard - No Malus Republic</t>
  </si>
  <si>
    <t>Road Construction</t>
  </si>
  <si>
    <r>
      <rPr>
        <rFont val="Arial"/>
        <color theme="1"/>
      </rPr>
      <t xml:space="preserve">500 M </t>
    </r>
    <r>
      <rPr>
        <rFont val="Arial"/>
        <color rgb="FFFF0000"/>
      </rPr>
      <t>1/10</t>
    </r>
  </si>
  <si>
    <r>
      <rPr>
        <rFont val="Arial"/>
        <color theme="1"/>
      </rPr>
      <t xml:space="preserve">0,91 </t>
    </r>
    <r>
      <rPr>
        <rFont val="Arial"/>
        <color rgb="FFFF0000"/>
      </rPr>
      <t>9/10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</si>
  <si>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</si>
  <si>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Ascetic</t>
  </si>
  <si>
    <t>Hellfleet Naval Sup. Feastwater</t>
  </si>
  <si>
    <t>#13</t>
  </si>
  <si>
    <t xml:space="preserve">Ayyutit </t>
  </si>
  <si>
    <r>
      <rPr>
        <rFont val="Arial"/>
        <color rgb="FF000000"/>
      </rPr>
      <t>600 000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</si>
  <si>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600 000 000 </t>
    </r>
    <r>
      <rPr>
        <rFont val="Arial"/>
        <color rgb="FFFF0000"/>
      </rPr>
      <t>9/10</t>
    </r>
  </si>
  <si>
    <t>Council of 100 Clans</t>
  </si>
  <si>
    <t>Calm +1 HDI</t>
  </si>
  <si>
    <t>Security / Pharma / Hairstylist</t>
  </si>
  <si>
    <r>
      <rPr>
        <rFont val="Arial"/>
        <color theme="1"/>
      </rPr>
      <t xml:space="preserve">9 T </t>
    </r>
    <r>
      <rPr>
        <rFont val="Arial"/>
        <color rgb="FFFF0000"/>
      </rPr>
      <t>9/10</t>
    </r>
  </si>
  <si>
    <r>
      <rPr>
        <rFont val="Arial"/>
        <color theme="1"/>
      </rPr>
      <t xml:space="preserve">0,42 </t>
    </r>
    <r>
      <rPr>
        <rFont val="Arial"/>
        <color rgb="FFFF0000"/>
      </rPr>
      <t>4/10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</si>
  <si>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</si>
  <si>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Desert / Superstitious / Utopian</t>
  </si>
  <si>
    <t>Dark Pact Trade</t>
  </si>
  <si>
    <t>#14</t>
  </si>
  <si>
    <t>Federal</t>
  </si>
  <si>
    <r>
      <rPr>
        <rFont val="Arial"/>
        <color theme="1"/>
      </rPr>
      <t xml:space="preserve">6 000 000 </t>
    </r>
    <r>
      <rPr>
        <rFont val="Arial"/>
        <color rgb="FFFF0000"/>
      </rPr>
      <t>9/10</t>
    </r>
  </si>
  <si>
    <r>
      <rPr>
        <rFont val="Arial"/>
        <color theme="1"/>
      </rPr>
      <t xml:space="preserve">1 700 000 000 </t>
    </r>
    <r>
      <rPr>
        <rFont val="Arial"/>
        <color rgb="FFFF0000"/>
      </rPr>
      <t>10/10</t>
    </r>
  </si>
  <si>
    <t>Fascism</t>
  </si>
  <si>
    <t>Strategist +3 Military</t>
  </si>
  <si>
    <t>Agri / Lobby / Lux. Cruise</t>
  </si>
  <si>
    <r>
      <rPr>
        <rFont val="Arial"/>
        <color theme="1"/>
      </rPr>
      <t xml:space="preserve">20 T  </t>
    </r>
    <r>
      <rPr>
        <rFont val="Arial"/>
        <color rgb="FFFF0000"/>
      </rPr>
      <t>10/10</t>
    </r>
  </si>
  <si>
    <r>
      <rPr>
        <rFont val="Arial"/>
        <color theme="1"/>
      </rPr>
      <t>0,92</t>
    </r>
    <r>
      <rPr>
        <rFont val="Arial"/>
        <color rgb="FFFF0000"/>
      </rPr>
      <t xml:space="preserve"> 9/10</t>
    </r>
  </si>
  <si>
    <r>
      <rPr>
        <rFont val="Arial"/>
        <color theme="1"/>
      </rPr>
      <t xml:space="preserve">Global Military (Naval/Air) </t>
    </r>
    <r>
      <rPr>
        <rFont val="Arial"/>
        <color rgb="FFFF0000"/>
      </rPr>
      <t>9/10</t>
    </r>
  </si>
  <si>
    <t>Medicine / Scholars / Fraternity</t>
  </si>
  <si>
    <t>#15</t>
  </si>
  <si>
    <t>Aurizhan</t>
  </si>
  <si>
    <r>
      <rPr>
        <rFont val="Arial"/>
        <color theme="1"/>
      </rPr>
      <t xml:space="preserve">125 000 </t>
    </r>
    <r>
      <rPr>
        <rFont val="Arial"/>
        <color rgb="FFFF0000"/>
      </rPr>
      <t>3/10</t>
    </r>
  </si>
  <si>
    <r>
      <rPr>
        <rFont val="Arial"/>
        <color theme="1"/>
      </rPr>
      <t xml:space="preserve">500 000      </t>
    </r>
    <r>
      <rPr>
        <rFont val="Arial"/>
        <color rgb="FFFF0000"/>
      </rPr>
      <t xml:space="preserve">  1/10</t>
    </r>
  </si>
  <si>
    <t>Just +2 HDI</t>
  </si>
  <si>
    <t>Golden Rice</t>
  </si>
  <si>
    <r>
      <rPr>
        <rFont val="Arial"/>
        <color theme="1"/>
      </rPr>
      <t xml:space="preserve">750 M   </t>
    </r>
    <r>
      <rPr>
        <rFont val="Arial"/>
        <color rgb="FFFF0000"/>
      </rPr>
      <t>1/10</t>
    </r>
  </si>
  <si>
    <r>
      <rPr>
        <rFont val="Arial"/>
        <color theme="1"/>
      </rPr>
      <t>0,96</t>
    </r>
    <r>
      <rPr>
        <rFont val="Arial"/>
        <color rgb="FFFF0000"/>
      </rPr>
      <t xml:space="preserve"> 10/10</t>
    </r>
  </si>
  <si>
    <r>
      <rPr>
        <rFont val="Arial"/>
        <color theme="1"/>
      </rPr>
      <t xml:space="preserve">Basic Army </t>
    </r>
    <r>
      <rPr>
        <rFont val="Arial"/>
        <color rgb="FFFF0000"/>
      </rPr>
      <t xml:space="preserve">5/10 </t>
    </r>
  </si>
  <si>
    <t>Vegan</t>
  </si>
  <si>
    <t>Crimson Mobilization</t>
  </si>
  <si>
    <t>#16</t>
  </si>
  <si>
    <t>Qamilandia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</si>
  <si>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</si>
  <si>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7 000 000  </t>
    </r>
    <r>
      <rPr>
        <rFont val="Arial"/>
        <color rgb="FFFF0000"/>
      </rPr>
      <t>3/10</t>
    </r>
  </si>
  <si>
    <t>Temperate +1 GDP</t>
  </si>
  <si>
    <t>Elder's Care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</si>
  <si>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</si>
  <si>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0,59  </t>
    </r>
    <r>
      <rPr>
        <rFont val="Arial"/>
        <color rgb="FFFF0000"/>
      </rPr>
      <t xml:space="preserve"> 5/10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</si>
  <si>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</si>
  <si>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Anti Science -1 HDI</t>
  </si>
  <si>
    <t>Quiet Reach</t>
  </si>
  <si>
    <t>🌍 SIZE TIER (Territory – km²)</t>
  </si>
  <si>
    <t>#17</t>
  </si>
  <si>
    <t>Bennia</t>
  </si>
  <si>
    <r>
      <rPr>
        <rFont val="Arial"/>
        <color theme="1"/>
      </rPr>
      <t xml:space="preserve">60 000  </t>
    </r>
    <r>
      <rPr>
        <rFont val="Arial"/>
        <color rgb="FFFF0000"/>
      </rPr>
      <t>2/10</t>
    </r>
  </si>
  <si>
    <r>
      <rPr>
        <rFont val="Arial"/>
        <color theme="1"/>
      </rPr>
      <t xml:space="preserve">1 000 000  </t>
    </r>
    <r>
      <rPr>
        <rFont val="Arial"/>
        <color rgb="FFFF0000"/>
      </rPr>
      <t>2/10</t>
    </r>
  </si>
  <si>
    <t>Corporate State</t>
  </si>
  <si>
    <t>Dwarf -1 HDI</t>
  </si>
  <si>
    <t xml:space="preserve">Gambling </t>
  </si>
  <si>
    <r>
      <rPr>
        <rFont val="Arial"/>
        <color theme="1"/>
      </rPr>
      <t xml:space="preserve">10 B </t>
    </r>
    <r>
      <rPr>
        <rFont val="Arial"/>
        <color rgb="FFFF0000"/>
      </rPr>
      <t>2/10</t>
    </r>
  </si>
  <si>
    <r>
      <rPr>
        <rFont val="Arial"/>
        <color theme="1"/>
      </rPr>
      <t xml:space="preserve">0,55 </t>
    </r>
    <r>
      <rPr>
        <rFont val="Arial"/>
        <color rgb="FFFF0000"/>
      </rPr>
      <t>5/10</t>
    </r>
  </si>
  <si>
    <r>
      <rPr>
        <rFont val="Arial"/>
        <color theme="1"/>
      </rPr>
      <t xml:space="preserve">Local Militia </t>
    </r>
    <r>
      <rPr>
        <rFont val="Arial"/>
        <color rgb="FFFF0000"/>
      </rPr>
      <t>3/10</t>
    </r>
  </si>
  <si>
    <t>Pacifist</t>
  </si>
  <si>
    <t>Hellmouth Risk</t>
  </si>
  <si>
    <t>#18</t>
  </si>
  <si>
    <t>Arcinia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</si>
  <si>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</si>
  <si>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115 000 000 </t>
    </r>
    <r>
      <rPr>
        <rFont val="Arial"/>
        <color rgb="FFFF0000"/>
      </rPr>
      <t>6/10</t>
    </r>
  </si>
  <si>
    <t>Murderer -3 HDI</t>
  </si>
  <si>
    <t xml:space="preserve"> Garbage / Street Food</t>
  </si>
  <si>
    <r>
      <rPr>
        <rFont val="Arial"/>
        <color theme="1"/>
      </rPr>
      <t xml:space="preserve">150 B </t>
    </r>
    <r>
      <rPr>
        <rFont val="Arial"/>
        <color rgb="FFFF0000"/>
      </rPr>
      <t>5/10</t>
    </r>
  </si>
  <si>
    <r>
      <rPr>
        <rFont val="Arial"/>
        <color theme="1"/>
      </rPr>
      <t xml:space="preserve">0,28 </t>
    </r>
    <r>
      <rPr>
        <rFont val="Arial"/>
        <color rgb="FFFF0000"/>
      </rPr>
      <t>2/10</t>
    </r>
  </si>
  <si>
    <r>
      <rPr>
        <rFont val="Arial"/>
        <color theme="1"/>
      </rPr>
      <t xml:space="preserve">No Army </t>
    </r>
    <r>
      <rPr>
        <rFont val="Arial"/>
        <color rgb="FFFF0000"/>
      </rPr>
      <t>0/10</t>
    </r>
  </si>
  <si>
    <t>Forest / Mountain clans</t>
  </si>
  <si>
    <t>Moral Unity</t>
  </si>
  <si>
    <t>1 – 10k – 40k</t>
  </si>
  <si>
    <t>#19</t>
  </si>
  <si>
    <t>Forgovia</t>
  </si>
  <si>
    <r>
      <rPr>
        <rFont val="Arial"/>
        <color theme="1"/>
      </rPr>
      <t>10 000</t>
    </r>
    <r>
      <rPr>
        <rFont val="Arial"/>
        <color rgb="FFFF0000"/>
      </rPr>
      <t xml:space="preserve"> 1/10</t>
    </r>
  </si>
  <si>
    <r>
      <rPr>
        <rFont val="Arial"/>
        <color theme="1"/>
      </rPr>
      <t xml:space="preserve">100 000 </t>
    </r>
    <r>
      <rPr>
        <rFont val="Arial"/>
        <color rgb="FFFF0000"/>
      </rPr>
      <t xml:space="preserve"> 1/10</t>
    </r>
  </si>
  <si>
    <t>Generous +2 HDI</t>
  </si>
  <si>
    <t>Top University</t>
  </si>
  <si>
    <r>
      <rPr>
        <rFont val="Arial"/>
        <color theme="1"/>
      </rPr>
      <t xml:space="preserve">15 B </t>
    </r>
    <r>
      <rPr>
        <rFont val="Arial"/>
        <color rgb="FFFF0000"/>
      </rPr>
      <t>2/10</t>
    </r>
  </si>
  <si>
    <r>
      <rPr>
        <rFont val="Arial"/>
        <color theme="1"/>
      </rPr>
      <t xml:space="preserve">0,98 </t>
    </r>
    <r>
      <rPr>
        <rFont val="Arial"/>
        <color rgb="FFFF0000"/>
      </rPr>
      <t>10/10</t>
    </r>
  </si>
  <si>
    <r>
      <rPr>
        <rFont val="Arial"/>
        <color theme="1"/>
      </rPr>
      <t xml:space="preserve">Civil Guard </t>
    </r>
    <r>
      <rPr>
        <rFont val="Arial"/>
        <color rgb="FFFF0000"/>
      </rPr>
      <t>1/10</t>
    </r>
  </si>
  <si>
    <t>Road Rage</t>
  </si>
  <si>
    <t>Population Drain</t>
  </si>
  <si>
    <t>2 – 40k – 75k</t>
  </si>
  <si>
    <t>#20</t>
  </si>
  <si>
    <t>Ranak</t>
  </si>
  <si>
    <r>
      <rPr>
        <rFont val="Arial"/>
        <color theme="1"/>
      </rPr>
      <t xml:space="preserve">300 000 </t>
    </r>
    <r>
      <rPr>
        <rFont val="Arial"/>
        <color rgb="FFFF0000"/>
      </rPr>
      <t>5/10</t>
    </r>
  </si>
  <si>
    <r>
      <rPr>
        <rFont val="Arial"/>
        <color theme="1"/>
      </rPr>
      <t xml:space="preserve">80 000 000 </t>
    </r>
    <r>
      <rPr>
        <rFont val="Arial"/>
        <color rgb="FFFF0000"/>
      </rPr>
      <t>6/10</t>
    </r>
  </si>
  <si>
    <t>Weeding Venues / Mercenaries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</si>
  <si>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</si>
  <si>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0,87 </t>
    </r>
    <r>
      <rPr>
        <rFont val="Arial"/>
        <color rgb="FFFF0000"/>
      </rPr>
      <t>8/10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</si>
  <si>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</si>
  <si>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Militaristic / Ancestor respect</t>
  </si>
  <si>
    <t>Mountain Shield</t>
  </si>
  <si>
    <t>3 – 75k – 150k</t>
  </si>
  <si>
    <t>#21</t>
  </si>
  <si>
    <t>Silker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</si>
  <si>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</si>
  <si>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25 000 000 </t>
    </r>
    <r>
      <rPr>
        <rFont val="Arial"/>
        <color rgb="FFFF0000"/>
      </rPr>
      <t>4/10</t>
    </r>
  </si>
  <si>
    <t>Military Dictatorship</t>
  </si>
  <si>
    <t>Architect +2 GDP</t>
  </si>
  <si>
    <t>Eco Toilets / Mercenaries</t>
  </si>
  <si>
    <r>
      <rPr>
        <rFont val="Arial"/>
        <color theme="1"/>
      </rPr>
      <t xml:space="preserve">700 B </t>
    </r>
    <r>
      <rPr>
        <rFont val="Arial"/>
        <color rgb="FFFF0000"/>
      </rPr>
      <t>7/10</t>
    </r>
  </si>
  <si>
    <r>
      <rPr>
        <rFont val="Arial"/>
        <color theme="1"/>
      </rPr>
      <t xml:space="preserve">0,31  </t>
    </r>
    <r>
      <rPr>
        <rFont val="Arial"/>
        <color rgb="FFFF0000"/>
      </rPr>
      <t>3/10</t>
    </r>
  </si>
  <si>
    <r>
      <rPr>
        <rFont val="Arial"/>
        <color theme="1"/>
      </rPr>
      <t xml:space="preserve">Basic Army </t>
    </r>
    <r>
      <rPr>
        <rFont val="Arial"/>
        <color rgb="FFFF0000"/>
      </rPr>
      <t xml:space="preserve">5/10 </t>
    </r>
  </si>
  <si>
    <t>Melting pot / Substance Free</t>
  </si>
  <si>
    <t>4 – 150k – 300k</t>
  </si>
  <si>
    <t>5 – 300k – 500k</t>
  </si>
  <si>
    <t>6 – 500k – 800k</t>
  </si>
  <si>
    <t>7 – 800k – 1.5M</t>
  </si>
  <si>
    <t>8 – 1.5M – 4M</t>
  </si>
  <si>
    <t>9 – 4M – 8M</t>
  </si>
  <si>
    <t>Classement par note</t>
  </si>
  <si>
    <t>10 – 8M+</t>
  </si>
  <si>
    <t>👥 POPULATION TIER</t>
  </si>
  <si>
    <t>1 – 100k – 750k</t>
  </si>
  <si>
    <t>2 – 750k – 3M</t>
  </si>
  <si>
    <t>3 – 3M – 10M</t>
  </si>
  <si>
    <t>4 – 10M – 30M</t>
  </si>
  <si>
    <t>5 – 30M – 70M</t>
  </si>
  <si>
    <t>6 – 70M – 115M</t>
  </si>
  <si>
    <t>7 – 115M – 200M</t>
  </si>
  <si>
    <t>8 – 200M – 600M</t>
  </si>
  <si>
    <t>9 – 600M – 1.5B</t>
  </si>
  <si>
    <t>10 – 1.5B+</t>
  </si>
  <si>
    <t>Score</t>
  </si>
  <si>
    <t>Lettre</t>
  </si>
  <si>
    <t>Z</t>
  </si>
  <si>
    <t>S+</t>
  </si>
  <si>
    <t>S</t>
  </si>
  <si>
    <t>A</t>
  </si>
  <si>
    <t>B</t>
  </si>
  <si>
    <t>B-</t>
  </si>
  <si>
    <t>C+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</si>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</sst>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>
      <i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Font="1"/>
    <xf borderId="0" fillId="0" fontId="3" numFmtId="0" xfId="0" applyFont="1"/>
    <xf borderId="0" fillId="2" fontId="5" numFmtId="0" xfId="0" applyFont="1"/>
    <xf borderId="0" fillId="0" fontId="8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2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13"/>
    <col customWidth="1" min="3" max="3" width="13.63"/>
    <col customWidth="1" min="4" max="4" width="16.0"/>
    <col customWidth="1" min="5" max="5" width="21.13"/>
    <col customWidth="1" min="6" max="6" width="13.0"/>
    <col customWidth="1" min="7" max="7" width="15.38"/>
    <col customWidth="1" min="8" max="8" width="11.38"/>
    <col customWidth="1" min="9" max="9" width="9.13"/>
    <col customWidth="1" min="10" max="10" width="22.5"/>
    <col customWidth="1" min="11" max="11" width="18.13"/>
    <col customWidth="1" min="13" max="13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4" t="s">
        <v>16</v>
      </c>
      <c r="R1" s="5"/>
      <c r="S1" s="5"/>
      <c r="T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7" t="s">
        <v>25</v>
      </c>
      <c r="J2" s="6" t="s">
        <v>26</v>
      </c>
      <c r="K2" s="6" t="s">
        <v>27</v>
      </c>
      <c r="L2" s="8" t="s">
        <v>28</v>
      </c>
      <c r="M2" s="6" t="s">
        <v>29</v>
      </c>
      <c r="N2" s="6" t="s">
        <v>30</v>
      </c>
      <c r="O2" s="9">
        <v>5.0</v>
      </c>
      <c r="P2" s="10">
        <f> AVERAGE( 5, 4, 6,8,5, 5)</f>
        <v>5.5</v>
      </c>
      <c r="Q2" s="11"/>
      <c r="R2" s="5"/>
      <c r="S2" s="5"/>
      <c r="T2" s="5"/>
    </row>
    <row r="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8" t="s">
        <v>28</v>
      </c>
      <c r="M3" s="6" t="s">
        <v>42</v>
      </c>
      <c r="N3" s="6" t="s">
        <v>43</v>
      </c>
      <c r="O3" s="9">
        <v>6.0</v>
      </c>
      <c r="P3" s="12">
        <f> AVERAGE( 7, 8, 8,8,5,6 )</f>
        <v>7</v>
      </c>
      <c r="Q3" s="4" t="s">
        <v>44</v>
      </c>
      <c r="R3" s="5"/>
      <c r="S3" s="5"/>
      <c r="T3" s="5"/>
    </row>
    <row r="4">
      <c r="A4" s="6" t="s">
        <v>45</v>
      </c>
      <c r="B4" s="6" t="s">
        <v>46</v>
      </c>
      <c r="C4" s="13" t="s">
        <v>47</v>
      </c>
      <c r="D4" s="6" t="s">
        <v>48</v>
      </c>
      <c r="E4" s="6" t="s">
        <v>49</v>
      </c>
      <c r="F4" s="6" t="s">
        <v>50</v>
      </c>
      <c r="G4" s="6" t="s">
        <v>51</v>
      </c>
      <c r="H4" s="6" t="s">
        <v>52</v>
      </c>
      <c r="I4" s="7" t="s">
        <v>53</v>
      </c>
      <c r="J4" s="6" t="s">
        <v>54</v>
      </c>
      <c r="K4" s="6" t="s">
        <v>55</v>
      </c>
      <c r="L4" s="8" t="s">
        <v>28</v>
      </c>
      <c r="M4" s="6" t="s">
        <v>56</v>
      </c>
      <c r="N4" s="6" t="s">
        <v>57</v>
      </c>
      <c r="O4" s="9">
        <v>5.0</v>
      </c>
      <c r="P4" s="12">
        <f> AVERAGE( 7, 5, 7,6,6,5)</f>
        <v>6</v>
      </c>
      <c r="Q4" s="4" t="s">
        <v>58</v>
      </c>
      <c r="R4" s="5"/>
      <c r="S4" s="5"/>
      <c r="T4" s="5"/>
    </row>
    <row r="5">
      <c r="A5" s="6" t="s">
        <v>59</v>
      </c>
      <c r="B5" s="6" t="s">
        <v>60</v>
      </c>
      <c r="C5" s="9" t="s">
        <v>61</v>
      </c>
      <c r="D5" s="6" t="s">
        <v>62</v>
      </c>
      <c r="E5" s="6" t="s">
        <v>21</v>
      </c>
      <c r="F5" s="6" t="s">
        <v>63</v>
      </c>
      <c r="G5" s="6" t="s">
        <v>64</v>
      </c>
      <c r="H5" s="6" t="s">
        <v>65</v>
      </c>
      <c r="I5" s="7" t="s">
        <v>66</v>
      </c>
      <c r="J5" s="6" t="s">
        <v>67</v>
      </c>
      <c r="K5" s="6" t="s">
        <v>68</v>
      </c>
      <c r="L5" s="14" t="s">
        <v>69</v>
      </c>
      <c r="M5" s="6" t="s">
        <v>70</v>
      </c>
      <c r="N5" s="6" t="s">
        <v>71</v>
      </c>
      <c r="O5" s="9">
        <v>8.0</v>
      </c>
      <c r="P5" s="12">
        <f> AVERAGE( 6, 6, 9,9,6,8 )</f>
        <v>7.333333333</v>
      </c>
      <c r="Q5" s="4" t="s">
        <v>72</v>
      </c>
      <c r="R5" s="5"/>
      <c r="S5" s="5"/>
      <c r="T5" s="5"/>
    </row>
    <row r="6">
      <c r="A6" s="6" t="s">
        <v>73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78</v>
      </c>
      <c r="G6" s="6" t="s">
        <v>79</v>
      </c>
      <c r="H6" s="6" t="s">
        <v>80</v>
      </c>
      <c r="I6" s="7" t="s">
        <v>81</v>
      </c>
      <c r="J6" s="6" t="s">
        <v>82</v>
      </c>
      <c r="K6" s="6" t="s">
        <v>83</v>
      </c>
      <c r="L6" s="14" t="s">
        <v>69</v>
      </c>
      <c r="M6" s="6" t="s">
        <v>84</v>
      </c>
      <c r="N6" s="6" t="s">
        <v>57</v>
      </c>
      <c r="O6" s="9">
        <v>8.0</v>
      </c>
      <c r="P6" s="12">
        <f> AVERAGE( 2, 6, 9,9,9,8 )</f>
        <v>7.166666667</v>
      </c>
      <c r="Q6" s="4" t="s">
        <v>85</v>
      </c>
      <c r="R6" s="5"/>
      <c r="S6" s="5"/>
      <c r="T6" s="5"/>
    </row>
    <row r="7">
      <c r="A7" s="6" t="s">
        <v>86</v>
      </c>
      <c r="B7" s="6" t="s">
        <v>87</v>
      </c>
      <c r="C7" s="6" t="s">
        <v>88</v>
      </c>
      <c r="D7" s="6" t="s">
        <v>89</v>
      </c>
      <c r="E7" s="6" t="s">
        <v>90</v>
      </c>
      <c r="F7" s="6" t="s">
        <v>91</v>
      </c>
      <c r="G7" s="6" t="s">
        <v>92</v>
      </c>
      <c r="H7" s="6" t="s">
        <v>93</v>
      </c>
      <c r="I7" s="7" t="s">
        <v>94</v>
      </c>
      <c r="J7" s="6" t="s">
        <v>95</v>
      </c>
      <c r="K7" s="6" t="s">
        <v>96</v>
      </c>
      <c r="L7" s="8" t="s">
        <v>28</v>
      </c>
      <c r="M7" s="6" t="s">
        <v>97</v>
      </c>
      <c r="N7" s="6" t="s">
        <v>98</v>
      </c>
      <c r="O7" s="9">
        <v>3.0</v>
      </c>
      <c r="P7" s="12">
        <f> AVERAGE( 2, 3, 7,6,0,3 )</f>
        <v>3.5</v>
      </c>
      <c r="Q7" s="4" t="s">
        <v>99</v>
      </c>
      <c r="R7" s="5"/>
      <c r="S7" s="5"/>
      <c r="T7" s="5"/>
    </row>
    <row r="8">
      <c r="A8" s="6" t="s">
        <v>100</v>
      </c>
      <c r="B8" s="6" t="s">
        <v>101</v>
      </c>
      <c r="C8" s="6" t="s">
        <v>102</v>
      </c>
      <c r="D8" s="6" t="s">
        <v>103</v>
      </c>
      <c r="E8" s="6" t="s">
        <v>104</v>
      </c>
      <c r="F8" s="6" t="s">
        <v>105</v>
      </c>
      <c r="G8" s="6" t="s">
        <v>106</v>
      </c>
      <c r="H8" s="6" t="s">
        <v>107</v>
      </c>
      <c r="I8" s="6" t="s">
        <v>108</v>
      </c>
      <c r="J8" s="6" t="s">
        <v>109</v>
      </c>
      <c r="K8" s="6" t="s">
        <v>110</v>
      </c>
      <c r="L8" s="14" t="s">
        <v>69</v>
      </c>
      <c r="M8" s="6" t="s">
        <v>111</v>
      </c>
      <c r="N8" s="6" t="s">
        <v>43</v>
      </c>
      <c r="O8" s="9">
        <v>6.0</v>
      </c>
      <c r="P8" s="12">
        <f> AVERAGE( 6, 5, 7,10,7,6 )</f>
        <v>6.833333333</v>
      </c>
      <c r="Q8" s="4" t="s">
        <v>112</v>
      </c>
      <c r="R8" s="5"/>
      <c r="S8" s="5"/>
      <c r="T8" s="5"/>
    </row>
    <row r="9">
      <c r="A9" s="6" t="s">
        <v>113</v>
      </c>
      <c r="B9" s="6" t="s">
        <v>114</v>
      </c>
      <c r="C9" s="6" t="s">
        <v>115</v>
      </c>
      <c r="D9" s="6" t="s">
        <v>116</v>
      </c>
      <c r="E9" s="6" t="s">
        <v>117</v>
      </c>
      <c r="F9" s="6" t="s">
        <v>118</v>
      </c>
      <c r="G9" s="6" t="s">
        <v>119</v>
      </c>
      <c r="H9" s="6" t="s">
        <v>120</v>
      </c>
      <c r="I9" s="7" t="s">
        <v>121</v>
      </c>
      <c r="J9" s="6" t="s">
        <v>122</v>
      </c>
      <c r="K9" s="6" t="s">
        <v>123</v>
      </c>
      <c r="L9" s="8" t="s">
        <v>28</v>
      </c>
      <c r="M9" s="6" t="s">
        <v>124</v>
      </c>
      <c r="N9" s="6" t="s">
        <v>125</v>
      </c>
      <c r="O9" s="9">
        <v>2.0</v>
      </c>
      <c r="P9" s="12">
        <f> AVERAGE( 1, 2, 2,7,1,2 )</f>
        <v>2.5</v>
      </c>
      <c r="Q9" s="4" t="s">
        <v>126</v>
      </c>
      <c r="R9" s="5"/>
      <c r="S9" s="5"/>
      <c r="T9" s="5"/>
    </row>
    <row r="10">
      <c r="A10" s="6" t="s">
        <v>127</v>
      </c>
      <c r="B10" s="6" t="s">
        <v>128</v>
      </c>
      <c r="C10" s="6" t="s">
        <v>129</v>
      </c>
      <c r="D10" s="6" t="s">
        <v>130</v>
      </c>
      <c r="E10" s="6" t="s">
        <v>131</v>
      </c>
      <c r="F10" s="6" t="s">
        <v>91</v>
      </c>
      <c r="G10" s="6" t="s">
        <v>132</v>
      </c>
      <c r="H10" s="6" t="s">
        <v>133</v>
      </c>
      <c r="I10" s="7" t="s">
        <v>134</v>
      </c>
      <c r="J10" s="6" t="s">
        <v>135</v>
      </c>
      <c r="K10" s="6" t="s">
        <v>136</v>
      </c>
      <c r="L10" s="8" t="s">
        <v>28</v>
      </c>
      <c r="M10" s="6" t="s">
        <v>137</v>
      </c>
      <c r="N10" s="6" t="s">
        <v>98</v>
      </c>
      <c r="O10" s="9">
        <v>4.0</v>
      </c>
      <c r="P10" s="12">
        <f> AVERAGE( 4, 3, 7,7,5,4 )</f>
        <v>5</v>
      </c>
      <c r="Q10" s="4" t="s">
        <v>138</v>
      </c>
      <c r="R10" s="5"/>
      <c r="S10" s="5"/>
      <c r="T10" s="5"/>
    </row>
    <row r="11">
      <c r="A11" s="6" t="s">
        <v>139</v>
      </c>
      <c r="B11" s="6" t="s">
        <v>140</v>
      </c>
      <c r="C11" s="6" t="s">
        <v>141</v>
      </c>
      <c r="D11" s="6" t="s">
        <v>142</v>
      </c>
      <c r="E11" s="6" t="s">
        <v>143</v>
      </c>
      <c r="F11" s="6" t="s">
        <v>144</v>
      </c>
      <c r="G11" s="6" t="s">
        <v>145</v>
      </c>
      <c r="H11" s="6" t="s">
        <v>146</v>
      </c>
      <c r="I11" s="7" t="s">
        <v>147</v>
      </c>
      <c r="J11" s="6" t="s">
        <v>148</v>
      </c>
      <c r="K11" s="6" t="s">
        <v>149</v>
      </c>
      <c r="L11" s="8" t="s">
        <v>28</v>
      </c>
      <c r="M11" s="6" t="s">
        <v>150</v>
      </c>
      <c r="N11" s="6" t="s">
        <v>151</v>
      </c>
      <c r="O11" s="9">
        <v>7.0</v>
      </c>
      <c r="P11" s="12">
        <f> AVERAGE( 7, 5, 7,6,8,7 )</f>
        <v>6.666666667</v>
      </c>
      <c r="Q11" s="4" t="s">
        <v>152</v>
      </c>
      <c r="R11" s="5"/>
      <c r="S11" s="5"/>
      <c r="T11" s="5"/>
    </row>
    <row r="12">
      <c r="A12" s="6" t="s">
        <v>153</v>
      </c>
      <c r="B12" s="6" t="s">
        <v>154</v>
      </c>
      <c r="C12" s="6" t="s">
        <v>155</v>
      </c>
      <c r="D12" s="6" t="s">
        <v>156</v>
      </c>
      <c r="E12" s="6" t="s">
        <v>157</v>
      </c>
      <c r="F12" s="6" t="s">
        <v>158</v>
      </c>
      <c r="G12" s="6" t="s">
        <v>159</v>
      </c>
      <c r="H12" s="6" t="s">
        <v>160</v>
      </c>
      <c r="I12" s="6" t="s">
        <v>161</v>
      </c>
      <c r="J12" s="6" t="s">
        <v>162</v>
      </c>
      <c r="K12" s="6" t="s">
        <v>163</v>
      </c>
      <c r="L12" s="8" t="s">
        <v>28</v>
      </c>
      <c r="M12" s="6" t="s">
        <v>164</v>
      </c>
      <c r="N12" s="6" t="s">
        <v>98</v>
      </c>
      <c r="O12" s="9">
        <v>3.0</v>
      </c>
      <c r="P12" s="12">
        <f> AVERAGE( 5, 3, 7,6,7,3 )</f>
        <v>5.166666667</v>
      </c>
      <c r="Q12" s="4" t="s">
        <v>165</v>
      </c>
      <c r="R12" s="5"/>
      <c r="S12" s="5"/>
      <c r="T12" s="5"/>
    </row>
    <row r="13">
      <c r="A13" s="6" t="s">
        <v>166</v>
      </c>
      <c r="B13" s="6" t="s">
        <v>167</v>
      </c>
      <c r="C13" s="6" t="s">
        <v>168</v>
      </c>
      <c r="D13" s="6" t="s">
        <v>169</v>
      </c>
      <c r="E13" s="6" t="s">
        <v>170</v>
      </c>
      <c r="F13" s="6" t="s">
        <v>171</v>
      </c>
      <c r="G13" s="6" t="s">
        <v>172</v>
      </c>
      <c r="H13" s="6" t="s">
        <v>173</v>
      </c>
      <c r="I13" s="7" t="s">
        <v>174</v>
      </c>
      <c r="J13" s="6" t="s">
        <v>175</v>
      </c>
      <c r="K13" s="6" t="s">
        <v>176</v>
      </c>
      <c r="L13" s="8" t="s">
        <v>28</v>
      </c>
      <c r="M13" s="6" t="s">
        <v>177</v>
      </c>
      <c r="N13" s="6" t="s">
        <v>71</v>
      </c>
      <c r="O13" s="9">
        <v>3.0</v>
      </c>
      <c r="P13" s="12">
        <f> AVERAGE( 3, 2, 1,9,6,3 )</f>
        <v>4</v>
      </c>
      <c r="Q13" s="4"/>
      <c r="R13" s="5"/>
      <c r="S13" s="5"/>
      <c r="T13" s="5"/>
    </row>
    <row r="14">
      <c r="A14" s="6" t="s">
        <v>178</v>
      </c>
      <c r="B14" s="6" t="s">
        <v>179</v>
      </c>
      <c r="C14" s="9" t="s">
        <v>180</v>
      </c>
      <c r="D14" s="6" t="s">
        <v>181</v>
      </c>
      <c r="E14" s="6" t="s">
        <v>182</v>
      </c>
      <c r="F14" s="6" t="s">
        <v>183</v>
      </c>
      <c r="G14" s="6" t="s">
        <v>184</v>
      </c>
      <c r="H14" s="6" t="s">
        <v>185</v>
      </c>
      <c r="I14" s="7" t="s">
        <v>186</v>
      </c>
      <c r="J14" s="6" t="s">
        <v>187</v>
      </c>
      <c r="K14" s="6" t="s">
        <v>188</v>
      </c>
      <c r="L14" s="8" t="s">
        <v>28</v>
      </c>
      <c r="M14" s="6" t="s">
        <v>189</v>
      </c>
      <c r="N14" s="6" t="s">
        <v>57</v>
      </c>
      <c r="O14" s="9">
        <v>7.0</v>
      </c>
      <c r="P14" s="12">
        <f> AVERAGE( 6, 9, 9,4,7,7 )</f>
        <v>7</v>
      </c>
      <c r="Q14" s="4"/>
      <c r="R14" s="5"/>
      <c r="S14" s="5"/>
      <c r="T14" s="5"/>
    </row>
    <row r="15">
      <c r="A15" s="6" t="s">
        <v>190</v>
      </c>
      <c r="B15" s="6" t="s">
        <v>191</v>
      </c>
      <c r="C15" s="6" t="s">
        <v>192</v>
      </c>
      <c r="D15" s="6" t="s">
        <v>193</v>
      </c>
      <c r="E15" s="6" t="s">
        <v>194</v>
      </c>
      <c r="F15" s="6" t="s">
        <v>195</v>
      </c>
      <c r="G15" s="6" t="s">
        <v>196</v>
      </c>
      <c r="H15" s="6" t="s">
        <v>197</v>
      </c>
      <c r="I15" s="7" t="s">
        <v>198</v>
      </c>
      <c r="J15" s="6" t="s">
        <v>199</v>
      </c>
      <c r="K15" s="6" t="s">
        <v>200</v>
      </c>
      <c r="L15" s="8" t="s">
        <v>28</v>
      </c>
      <c r="M15" s="6" t="s">
        <v>56</v>
      </c>
      <c r="N15" s="6" t="s">
        <v>151</v>
      </c>
      <c r="O15" s="9">
        <v>9.0</v>
      </c>
      <c r="P15" s="12">
        <f> AVERAGE( 9, 10, 10,9,9,9 )</f>
        <v>9.333333333</v>
      </c>
      <c r="Q15" s="4"/>
      <c r="R15" s="5"/>
      <c r="S15" s="5"/>
      <c r="T15" s="5"/>
    </row>
    <row r="16">
      <c r="A16" s="6" t="s">
        <v>201</v>
      </c>
      <c r="B16" s="6" t="s">
        <v>202</v>
      </c>
      <c r="C16" s="6" t="s">
        <v>203</v>
      </c>
      <c r="D16" s="6" t="s">
        <v>204</v>
      </c>
      <c r="E16" s="6" t="s">
        <v>157</v>
      </c>
      <c r="F16" s="6" t="s">
        <v>205</v>
      </c>
      <c r="G16" s="6" t="s">
        <v>206</v>
      </c>
      <c r="H16" s="6" t="s">
        <v>207</v>
      </c>
      <c r="I16" s="7" t="s">
        <v>208</v>
      </c>
      <c r="J16" s="6" t="s">
        <v>209</v>
      </c>
      <c r="K16" s="6" t="s">
        <v>210</v>
      </c>
      <c r="L16" s="8" t="s">
        <v>28</v>
      </c>
      <c r="M16" s="6" t="s">
        <v>211</v>
      </c>
      <c r="N16" s="6" t="s">
        <v>30</v>
      </c>
      <c r="O16" s="9">
        <v>3.0</v>
      </c>
      <c r="P16" s="12">
        <f> AVERAGE( 3, 1, 1,10,5,3 )</f>
        <v>3.833333333</v>
      </c>
    </row>
    <row r="17">
      <c r="A17" s="6" t="s">
        <v>212</v>
      </c>
      <c r="B17" s="6" t="s">
        <v>213</v>
      </c>
      <c r="C17" s="13" t="s">
        <v>214</v>
      </c>
      <c r="D17" s="6" t="s">
        <v>215</v>
      </c>
      <c r="E17" s="6" t="s">
        <v>21</v>
      </c>
      <c r="F17" s="6" t="s">
        <v>216</v>
      </c>
      <c r="G17" s="6" t="s">
        <v>217</v>
      </c>
      <c r="H17" s="6" t="s">
        <v>218</v>
      </c>
      <c r="I17" s="7" t="s">
        <v>219</v>
      </c>
      <c r="J17" s="6" t="s">
        <v>220</v>
      </c>
      <c r="K17" s="6" t="s">
        <v>221</v>
      </c>
      <c r="L17" s="8" t="s">
        <v>28</v>
      </c>
      <c r="M17" s="6" t="s">
        <v>124</v>
      </c>
      <c r="N17" s="6" t="s">
        <v>222</v>
      </c>
      <c r="O17" s="9">
        <v>5.0</v>
      </c>
      <c r="P17" s="12">
        <f> AVERAGE( 7,3, 7,5,7,5)</f>
        <v>5.666666667</v>
      </c>
      <c r="Q17" s="4" t="s">
        <v>223</v>
      </c>
      <c r="R17" s="5"/>
      <c r="S17" s="5"/>
    </row>
    <row r="18">
      <c r="A18" s="6" t="s">
        <v>224</v>
      </c>
      <c r="B18" s="6" t="s">
        <v>225</v>
      </c>
      <c r="C18" s="6" t="s">
        <v>226</v>
      </c>
      <c r="D18" s="6" t="s">
        <v>227</v>
      </c>
      <c r="E18" s="6" t="s">
        <v>228</v>
      </c>
      <c r="F18" s="6" t="s">
        <v>229</v>
      </c>
      <c r="G18" s="6" t="s">
        <v>230</v>
      </c>
      <c r="H18" s="6" t="s">
        <v>231</v>
      </c>
      <c r="I18" s="6" t="s">
        <v>232</v>
      </c>
      <c r="J18" s="6" t="s">
        <v>233</v>
      </c>
      <c r="K18" s="6" t="s">
        <v>234</v>
      </c>
      <c r="L18" s="8" t="s">
        <v>28</v>
      </c>
      <c r="M18" s="6" t="s">
        <v>235</v>
      </c>
      <c r="N18" s="6" t="s">
        <v>222</v>
      </c>
      <c r="O18" s="9">
        <v>2.0</v>
      </c>
      <c r="P18" s="12">
        <f> AVERAGE( 2,2, 2,5,3,2)</f>
        <v>2.666666667</v>
      </c>
      <c r="Q18" s="11"/>
      <c r="R18" s="5"/>
      <c r="S18" s="5"/>
    </row>
    <row r="19">
      <c r="A19" s="6" t="s">
        <v>236</v>
      </c>
      <c r="B19" s="6" t="s">
        <v>237</v>
      </c>
      <c r="C19" s="13" t="s">
        <v>238</v>
      </c>
      <c r="D19" s="6" t="s">
        <v>239</v>
      </c>
      <c r="E19" s="6" t="s">
        <v>35</v>
      </c>
      <c r="F19" s="6" t="s">
        <v>240</v>
      </c>
      <c r="G19" s="6" t="s">
        <v>241</v>
      </c>
      <c r="H19" s="6" t="s">
        <v>242</v>
      </c>
      <c r="I19" s="6" t="s">
        <v>243</v>
      </c>
      <c r="J19" s="6" t="s">
        <v>244</v>
      </c>
      <c r="K19" s="6" t="s">
        <v>245</v>
      </c>
      <c r="L19" s="14" t="s">
        <v>69</v>
      </c>
      <c r="M19" s="6" t="s">
        <v>246</v>
      </c>
      <c r="N19" s="6" t="s">
        <v>57</v>
      </c>
      <c r="O19" s="9">
        <v>3.0</v>
      </c>
      <c r="P19" s="12">
        <f> AVERAGE( 7,6, 5,2,0,3)</f>
        <v>3.833333333</v>
      </c>
      <c r="Q19" s="4" t="s">
        <v>247</v>
      </c>
      <c r="R19" s="5"/>
      <c r="S19" s="5"/>
    </row>
    <row r="20">
      <c r="A20" s="6" t="s">
        <v>248</v>
      </c>
      <c r="B20" s="6" t="s">
        <v>249</v>
      </c>
      <c r="C20" s="6" t="s">
        <v>250</v>
      </c>
      <c r="D20" s="6" t="s">
        <v>251</v>
      </c>
      <c r="E20" s="6" t="s">
        <v>104</v>
      </c>
      <c r="F20" s="6" t="s">
        <v>252</v>
      </c>
      <c r="G20" s="6" t="s">
        <v>253</v>
      </c>
      <c r="H20" s="6" t="s">
        <v>254</v>
      </c>
      <c r="I20" s="7" t="s">
        <v>255</v>
      </c>
      <c r="J20" s="6" t="s">
        <v>256</v>
      </c>
      <c r="K20" s="6" t="s">
        <v>257</v>
      </c>
      <c r="L20" s="8" t="s">
        <v>28</v>
      </c>
      <c r="M20" s="6" t="s">
        <v>258</v>
      </c>
      <c r="N20" s="6" t="s">
        <v>125</v>
      </c>
      <c r="O20" s="9">
        <v>5.0</v>
      </c>
      <c r="P20" s="12">
        <f> AVERAGE( 1,1, 2,10,1,5)</f>
        <v>3.333333333</v>
      </c>
      <c r="Q20" s="4" t="s">
        <v>259</v>
      </c>
      <c r="R20" s="5"/>
      <c r="S20" s="5"/>
    </row>
    <row r="21">
      <c r="A21" s="6" t="s">
        <v>260</v>
      </c>
      <c r="B21" s="6" t="s">
        <v>261</v>
      </c>
      <c r="C21" s="6" t="s">
        <v>262</v>
      </c>
      <c r="D21" s="6" t="s">
        <v>263</v>
      </c>
      <c r="E21" s="6" t="s">
        <v>104</v>
      </c>
      <c r="F21" s="6" t="s">
        <v>252</v>
      </c>
      <c r="G21" s="6" t="s">
        <v>264</v>
      </c>
      <c r="H21" s="6" t="s">
        <v>265</v>
      </c>
      <c r="I21" s="7" t="s">
        <v>266</v>
      </c>
      <c r="J21" s="6" t="s">
        <v>267</v>
      </c>
      <c r="K21" s="6" t="s">
        <v>268</v>
      </c>
      <c r="L21" s="14" t="s">
        <v>69</v>
      </c>
      <c r="M21" s="6" t="s">
        <v>269</v>
      </c>
      <c r="N21" s="6" t="s">
        <v>125</v>
      </c>
      <c r="O21" s="9">
        <v>5.0</v>
      </c>
      <c r="P21" s="12">
        <f> AVERAGE( 5,6, 7,8,6,5)</f>
        <v>6.166666667</v>
      </c>
      <c r="Q21" s="4" t="s">
        <v>270</v>
      </c>
      <c r="R21" s="5"/>
      <c r="S21" s="5"/>
    </row>
    <row r="22">
      <c r="A22" s="6" t="s">
        <v>271</v>
      </c>
      <c r="B22" s="6" t="s">
        <v>272</v>
      </c>
      <c r="C22" s="13" t="s">
        <v>273</v>
      </c>
      <c r="D22" s="6" t="s">
        <v>274</v>
      </c>
      <c r="E22" s="6" t="s">
        <v>275</v>
      </c>
      <c r="F22" s="6" t="s">
        <v>276</v>
      </c>
      <c r="G22" s="6" t="s">
        <v>277</v>
      </c>
      <c r="H22" s="6" t="s">
        <v>278</v>
      </c>
      <c r="I22" s="7" t="s">
        <v>279</v>
      </c>
      <c r="J22" s="6" t="s">
        <v>280</v>
      </c>
      <c r="K22" s="6" t="s">
        <v>281</v>
      </c>
      <c r="L22" s="8" t="s">
        <v>28</v>
      </c>
      <c r="M22" s="6" t="s">
        <v>258</v>
      </c>
      <c r="N22" s="6" t="s">
        <v>71</v>
      </c>
      <c r="O22" s="9">
        <v>4.0</v>
      </c>
      <c r="P22" s="12">
        <f> AVERAGE( 7,4, 7,3,5,4)</f>
        <v>5</v>
      </c>
      <c r="Q22" s="4" t="s">
        <v>282</v>
      </c>
      <c r="R22" s="5"/>
      <c r="S22" s="5"/>
    </row>
    <row r="23">
      <c r="J23" s="6"/>
      <c r="Q23" s="4" t="s">
        <v>283</v>
      </c>
      <c r="R23" s="5"/>
      <c r="S23" s="5"/>
    </row>
    <row r="24">
      <c r="Q24" s="4" t="s">
        <v>284</v>
      </c>
      <c r="R24" s="5"/>
      <c r="S24" s="5"/>
    </row>
    <row r="25">
      <c r="Q25" s="4" t="s">
        <v>285</v>
      </c>
      <c r="R25" s="5"/>
      <c r="S25" s="5"/>
    </row>
    <row r="26">
      <c r="Q26" s="4" t="s">
        <v>286</v>
      </c>
      <c r="R26" s="5"/>
      <c r="S26" s="5"/>
    </row>
    <row r="27">
      <c r="Q27" s="4" t="s">
        <v>287</v>
      </c>
      <c r="R27" s="5"/>
      <c r="S27" s="5"/>
    </row>
    <row r="28">
      <c r="D28" s="6" t="s">
        <v>288</v>
      </c>
      <c r="Q28" s="4" t="s">
        <v>289</v>
      </c>
      <c r="R28" s="5"/>
      <c r="S28" s="5"/>
    </row>
    <row r="29">
      <c r="D29" s="15" t="s">
        <v>191</v>
      </c>
      <c r="E29" s="16">
        <f> AVERAGE( 9, 10, 10,9,9,9 )</f>
        <v>9.333333333</v>
      </c>
      <c r="Q29" s="11"/>
      <c r="R29" s="5"/>
      <c r="S29" s="5"/>
    </row>
    <row r="30">
      <c r="C30" s="15"/>
      <c r="D30" s="15" t="s">
        <v>60</v>
      </c>
      <c r="E30" s="16">
        <f> AVERAGE( 6, 6, 9,9,6,8 )</f>
        <v>7.333333333</v>
      </c>
      <c r="Q30" s="4" t="s">
        <v>290</v>
      </c>
      <c r="R30" s="5"/>
      <c r="S30" s="5"/>
    </row>
    <row r="31">
      <c r="C31" s="15"/>
      <c r="D31" s="15" t="s">
        <v>74</v>
      </c>
      <c r="E31" s="16">
        <f> AVERAGE( 2, 6, 9,9,9,8 )</f>
        <v>7.166666667</v>
      </c>
      <c r="Q31" s="11"/>
      <c r="R31" s="5"/>
      <c r="S31" s="5"/>
    </row>
    <row r="32">
      <c r="C32" s="15"/>
      <c r="D32" s="15" t="s">
        <v>32</v>
      </c>
      <c r="E32" s="16">
        <f> AVERAGE( 7, 8, 8,8,5,6 )</f>
        <v>7</v>
      </c>
      <c r="Q32" s="4" t="s">
        <v>291</v>
      </c>
      <c r="R32" s="5"/>
      <c r="S32" s="5"/>
    </row>
    <row r="33">
      <c r="C33" s="15"/>
      <c r="D33" s="15" t="s">
        <v>179</v>
      </c>
      <c r="E33" s="16">
        <f> AVERAGE( 6, 9, 9,4,7,7 )</f>
        <v>7</v>
      </c>
      <c r="Q33" s="4" t="s">
        <v>292</v>
      </c>
      <c r="R33" s="5"/>
      <c r="S33" s="5"/>
    </row>
    <row r="34">
      <c r="D34" s="15"/>
      <c r="E34" s="17"/>
      <c r="Q34" s="4" t="s">
        <v>293</v>
      </c>
      <c r="R34" s="5"/>
      <c r="S34" s="5"/>
    </row>
    <row r="35">
      <c r="D35" s="15"/>
      <c r="E35" s="17"/>
      <c r="Q35" s="4" t="s">
        <v>294</v>
      </c>
      <c r="R35" s="5"/>
      <c r="S35" s="5"/>
    </row>
    <row r="36">
      <c r="D36" s="15"/>
      <c r="E36" s="17"/>
      <c r="Q36" s="4" t="s">
        <v>295</v>
      </c>
      <c r="R36" s="5"/>
      <c r="S36" s="5"/>
    </row>
    <row r="37">
      <c r="Q37" s="4" t="s">
        <v>296</v>
      </c>
      <c r="R37" s="5"/>
      <c r="S37" s="5"/>
    </row>
    <row r="38">
      <c r="Q38" s="4" t="s">
        <v>297</v>
      </c>
      <c r="R38" s="5"/>
      <c r="S38" s="5"/>
    </row>
    <row r="39">
      <c r="Q39" s="4" t="s">
        <v>298</v>
      </c>
      <c r="R39" s="5"/>
      <c r="S39" s="5"/>
    </row>
    <row r="40">
      <c r="Q40" s="4" t="s">
        <v>299</v>
      </c>
      <c r="R40" s="5"/>
      <c r="S40" s="5"/>
    </row>
    <row r="41">
      <c r="Q41" s="4" t="s">
        <v>300</v>
      </c>
      <c r="R41" s="5"/>
      <c r="S41" s="5"/>
    </row>
    <row r="42">
      <c r="Q42" s="5"/>
      <c r="R42" s="5"/>
      <c r="S42" s="5"/>
    </row>
    <row r="43">
      <c r="Q43" s="4" t="s">
        <v>301</v>
      </c>
      <c r="R43" s="6" t="s">
        <v>302</v>
      </c>
    </row>
    <row r="44">
      <c r="Q44" s="6">
        <v>10.0</v>
      </c>
      <c r="R44" s="6" t="s">
        <v>303</v>
      </c>
    </row>
    <row r="45">
      <c r="Q45" s="6">
        <v>9.0</v>
      </c>
      <c r="R45" s="6" t="s">
        <v>304</v>
      </c>
    </row>
    <row r="46">
      <c r="Q46" s="6">
        <v>8.0</v>
      </c>
      <c r="R46" s="6" t="s">
        <v>305</v>
      </c>
    </row>
    <row r="47">
      <c r="Q47" s="6">
        <v>7.0</v>
      </c>
      <c r="R47" s="6" t="s">
        <v>306</v>
      </c>
    </row>
    <row r="48">
      <c r="Q48" s="6">
        <v>6.0</v>
      </c>
      <c r="R48" s="6" t="s">
        <v>307</v>
      </c>
    </row>
    <row r="49">
      <c r="Q49" s="6">
        <v>5.0</v>
      </c>
      <c r="R49" s="6" t="s">
        <v>308</v>
      </c>
    </row>
    <row r="50">
      <c r="Q50" s="6">
        <v>4.0</v>
      </c>
      <c r="R50" s="6" t="s">
        <v>309</v>
      </c>
    </row>
    <row r="51">
      <c r="Q51" s="6">
        <v>3.0</v>
      </c>
      <c r="R51" s="6" t="s">
        <v>310</v>
      </c>
    </row>
    <row r="52">
      <c r="Q52" s="6">
        <v>2.0</v>
      </c>
      <c r="R52" s="6" t="s">
        <v>311</v>
      </c>
    </row>
    <row r="53">
      <c r="Q53" s="6">
        <v>1.0</v>
      </c>
      <c r="R53" s="6" t="s">
        <v>312</v>
      </c>
    </row>
  </sheetData>
  <drawing r:id="rId1"/>
</worksheet>
</file>